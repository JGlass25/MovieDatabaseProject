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workbookPr filterPrivacy="1" codeName="ThisWorkbook"/>
  <xr:revisionPtr revIDLastSave="0" documentId="13_ncr:3_{EE55AD10-31B1-3442-852D-B0C0524140E1}" xr6:coauthVersionLast="45" xr6:coauthVersionMax="45" xr10:uidLastSave="{00000000-0000-0000-0000-000000000000}"/>
  <bookViews>
    <workbookView xWindow="0" yWindow="460" windowWidth="28800" windowHeight="16140" xr2:uid="{00000000-000D-0000-FFFF-FFFF00000000}"/>
  </bookViews>
  <sheets>
    <sheet name="ProjectSchedule" sheetId="11" r:id="rId1"/>
    <sheet name="About" sheetId="12" r:id="rId2"/>
  </sheets>
  <definedNames>
    <definedName name="Display_Week">ProjectSchedule!$E$4</definedName>
    <definedName name="_xlnm.Print_Titles" localSheetId="0">ProjectSchedule!$4:$6</definedName>
    <definedName name="Project_Start">ProjectSchedule!$E$3</definedName>
    <definedName name="task_end" localSheetId="0">ProjectSchedule!$F1</definedName>
    <definedName name="task_progress" localSheetId="0">ProjectSchedule!$D1</definedName>
    <definedName name="task_start" localSheetId="0">ProjectSchedule!$E1</definedName>
    <definedName name="today"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1" i="11" l="1"/>
  <c r="E31" i="11"/>
  <c r="F30" i="11"/>
  <c r="E30" i="11"/>
  <c r="F29" i="11"/>
  <c r="F28" i="11"/>
  <c r="F24" i="11"/>
  <c r="F23" i="11"/>
  <c r="E25" i="11" s="1"/>
  <c r="F25" i="11" s="1"/>
  <c r="E24" i="11"/>
  <c r="E23" i="11"/>
  <c r="F22" i="11"/>
  <c r="E22" i="11"/>
  <c r="F21" i="11"/>
  <c r="F19" i="11"/>
  <c r="F18" i="11"/>
  <c r="E18" i="11"/>
  <c r="E17" i="11"/>
  <c r="F15" i="11"/>
  <c r="E2" i="11"/>
  <c r="E16" i="11"/>
  <c r="E12" i="11"/>
  <c r="F12" i="11" s="1"/>
  <c r="E19" i="11" l="1"/>
  <c r="E13" i="11"/>
  <c r="F13" i="11" s="1"/>
  <c r="E15" i="11" s="1"/>
  <c r="F11" i="11"/>
  <c r="F10" i="11"/>
  <c r="E3" i="11"/>
  <c r="E9" i="11"/>
  <c r="F9" i="11" l="1"/>
  <c r="E10" i="11" s="1"/>
  <c r="H7" i="11"/>
  <c r="E11" i="11" l="1"/>
  <c r="I5" i="11"/>
  <c r="H33" i="11"/>
  <c r="H32" i="11"/>
  <c r="H26" i="11"/>
  <c r="H20" i="11"/>
  <c r="H14" i="11"/>
  <c r="H8" i="11"/>
  <c r="H9" i="11" l="1"/>
  <c r="I6" i="11"/>
  <c r="H15" i="11" l="1"/>
  <c r="F16" i="11"/>
  <c r="H10" i="11"/>
  <c r="H13" i="11"/>
  <c r="J5" i="11"/>
  <c r="K5" i="11" s="1"/>
  <c r="L5" i="11" s="1"/>
  <c r="M5" i="11" s="1"/>
  <c r="N5" i="11" s="1"/>
  <c r="O5" i="11" s="1"/>
  <c r="P5" i="11" s="1"/>
  <c r="I4" i="11"/>
  <c r="F17" i="11" l="1"/>
  <c r="H16" i="11"/>
  <c r="H11" i="11"/>
  <c r="H12" i="11"/>
  <c r="P4" i="11"/>
  <c r="Q5" i="11"/>
  <c r="R5" i="11" s="1"/>
  <c r="S5" i="11" s="1"/>
  <c r="T5" i="11" s="1"/>
  <c r="U5" i="11" s="1"/>
  <c r="V5" i="11" s="1"/>
  <c r="W5" i="11" s="1"/>
  <c r="J6" i="11"/>
  <c r="E21" i="11" l="1"/>
  <c r="H18" i="11"/>
  <c r="H17" i="11"/>
  <c r="W4" i="11"/>
  <c r="X5" i="11"/>
  <c r="Y5" i="11" s="1"/>
  <c r="Z5" i="11" s="1"/>
  <c r="AA5" i="11" s="1"/>
  <c r="AB5" i="11" s="1"/>
  <c r="AC5" i="11" s="1"/>
  <c r="AD5" i="11" s="1"/>
  <c r="K6" i="11"/>
  <c r="H19" i="11" l="1"/>
  <c r="AE5" i="11"/>
  <c r="AF5" i="11" s="1"/>
  <c r="AG5" i="11" s="1"/>
  <c r="AH5" i="11" s="1"/>
  <c r="AI5" i="11" s="1"/>
  <c r="AJ5" i="11" s="1"/>
  <c r="AD4" i="11"/>
  <c r="L6" i="11"/>
  <c r="H21" i="11" l="1"/>
  <c r="H22" i="11"/>
  <c r="AK5" i="11"/>
  <c r="AL5" i="11" s="1"/>
  <c r="AM5" i="11" s="1"/>
  <c r="AN5" i="11" s="1"/>
  <c r="AO5" i="11" s="1"/>
  <c r="AP5" i="11" s="1"/>
  <c r="AQ5" i="11" s="1"/>
  <c r="M6" i="11"/>
  <c r="AR5" i="11" l="1"/>
  <c r="AS5" i="11" s="1"/>
  <c r="AK4" i="11"/>
  <c r="N6" i="11"/>
  <c r="H23" i="11" l="1"/>
  <c r="H24" i="11"/>
  <c r="E27" i="11"/>
  <c r="AT5" i="11"/>
  <c r="AS6" i="11"/>
  <c r="AR4" i="11"/>
  <c r="O6" i="11"/>
  <c r="E28" i="11" l="1"/>
  <c r="F27" i="11"/>
  <c r="E29" i="11" s="1"/>
  <c r="H25" i="11"/>
  <c r="AU5" i="11"/>
  <c r="AT6" i="11"/>
  <c r="H27" i="11" l="1"/>
  <c r="H28" i="11"/>
  <c r="AV5" i="11"/>
  <c r="AU6" i="11"/>
  <c r="P6" i="11"/>
  <c r="Q6" i="11"/>
  <c r="AW5" i="11" l="1"/>
  <c r="AV6" i="11"/>
  <c r="R6" i="11"/>
  <c r="H29" i="11" l="1"/>
  <c r="H30" i="11"/>
  <c r="H31" i="11"/>
  <c r="AX5" i="1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<sst xmlns="http://schemas.openxmlformats.org/spreadsheetml/2006/main" count="88" uniqueCount="69">
  <si>
    <t>Insert new rows ABOVE this one</t>
  </si>
  <si>
    <t>Project Start:</t>
  </si>
  <si>
    <t>ASSIGNED
TO</t>
  </si>
  <si>
    <t>Project Management Templates</t>
  </si>
  <si>
    <t>START</t>
  </si>
  <si>
    <t>END</t>
  </si>
  <si>
    <t>DAYS</t>
  </si>
  <si>
    <t>Display Week:</t>
  </si>
  <si>
    <t>TASK</t>
  </si>
  <si>
    <t>More Project Management Templates</t>
  </si>
  <si>
    <t>About This Template</t>
  </si>
  <si>
    <t>SIMPLE GANTT CHART by Vertex42.com</t>
  </si>
  <si>
    <t>Additional Help</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</si>
  <si>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</si>
  <si>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</si>
  <si>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</si>
  <si>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https://www.vertex42.com/ExcelTemplates/simple-gantt-chart.html</t>
  </si>
  <si>
    <t>Visit Vertex42.com to download other project management templates, including different types of project schedules, Gantt charts, tasks lists, etc.</t>
  </si>
  <si>
    <t>How to Use the Simple Gantt Chart</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</si>
  <si>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</si>
  <si>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</si>
  <si>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There are 2 worksheets in this workbook. 
TimeSheet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This hidden text will not print.
To remove these instructions from the worksheet, simply delete column A.</t>
  </si>
  <si>
    <t>Guide for Screen Readers</t>
  </si>
  <si>
    <t>Enter Company Name in cell B2.</t>
  </si>
  <si>
    <t>Sample phase title block</t>
  </si>
  <si>
    <t>This row marks the end of the Project Schedule. DO NOT enter anything in this row. 
Insert new rows ABOVE this one to continue building out your Project Schedule.</t>
  </si>
  <si>
    <t>This is an empty row</t>
  </si>
  <si>
    <t xml:space="preserve">Do not delete this row. This row is hidden to preserve a formula that is used to highlight the curren day within the project schedule. </t>
  </si>
  <si>
    <t>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</si>
  <si>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Enter the name of the Project Lead in cell B3. Enter the Project Start date in cell E3. Pooject Start: label is in cell C3.</t>
  </si>
  <si>
    <t>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</si>
  <si>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</si>
  <si>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</si>
  <si>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</si>
  <si>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 xml:space="preserve">Cell B9 contains the sample task "Task 1." 
Enter a new task name in cell B9.
Enter a person to assign the task to in cell C9.
Enter progres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</si>
  <si>
    <t>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</si>
  <si>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The cell at right contains the Phase 2 sample title. 
You can create a new phase at any time within column B. This project schedule does not require phases. To remove the phase, simply delete the row.
To create a new phase block in this row, enter a new Title in cell at right.
To continue adding tasks to the phase above, enter a new row above this one and fill in the task data as in cell A9's instruction.
Update the Phase details in cell at right based on cell A8's instruction.
Continue navigating down column A cells to learn more.
If you haven't added any new rows in this worksheet, you will find 2 additional sample phase blocks have been created for you in cells B20 and B26. Otherwise, navigate through column A cells to find the additional blocks. 
Repeat the instructions from cells A8 and A9 whenever you need to.</t>
  </si>
  <si>
    <t>CSC 351 Project</t>
  </si>
  <si>
    <t>John Glasser</t>
  </si>
  <si>
    <t>Yizhe He</t>
  </si>
  <si>
    <t>Submission 1</t>
  </si>
  <si>
    <t>John</t>
  </si>
  <si>
    <t>Create Gannt Chart</t>
  </si>
  <si>
    <t>Define Database Reqs</t>
  </si>
  <si>
    <t>Build ERD</t>
  </si>
  <si>
    <t>Yizhe</t>
  </si>
  <si>
    <t>Check ERD and prep Presentation</t>
  </si>
  <si>
    <t>Prepare Presentation</t>
  </si>
  <si>
    <t>SQL</t>
  </si>
  <si>
    <t>Final Paper and Presentation</t>
  </si>
  <si>
    <t>Interface / Website</t>
  </si>
  <si>
    <t>DDL and Basic Queries</t>
  </si>
  <si>
    <t>Python Script for DML</t>
  </si>
  <si>
    <t>Advanced Queries</t>
  </si>
  <si>
    <t>Setup AWS</t>
  </si>
  <si>
    <t>Draw Rough GUI</t>
  </si>
  <si>
    <t>Last Updated:</t>
  </si>
  <si>
    <t>Insert Test Data</t>
  </si>
  <si>
    <t xml:space="preserve">Test Database Stability </t>
  </si>
  <si>
    <t>Yishe</t>
  </si>
  <si>
    <t>Modify HTML</t>
  </si>
  <si>
    <t>Write PHP CRUD</t>
  </si>
  <si>
    <t>Finalize PHP CRUD and HTML</t>
  </si>
  <si>
    <t>Compile Screenshots</t>
  </si>
  <si>
    <t xml:space="preserve">Introuduction, Usage, Constraints </t>
  </si>
  <si>
    <t>Compile DDL, DML, Views, Procedures</t>
  </si>
  <si>
    <t>Integrity, Updates, Error Checking</t>
  </si>
  <si>
    <t>Finalize Paper and Presentation</t>
  </si>
  <si>
    <t>John &amp; Yizhe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</si>
</sst>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d/yy;@"/>
    <numFmt numFmtId="165" formatCode="ddd\,\ m/d/yyyy"/>
    <numFmt numFmtId="166" formatCode="mmm\ d\,\ yyyy"/>
    <numFmt numFmtId="167" formatCode="d"/>
  </numFmts>
  <fonts count="23"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s>
  <borders count="13">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s>
  <cellStyleXfs count="13">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xf numFmtId="0" fontId="22" fillId="0" borderId="0"/>
    <xf numFmtId="43" fontId="9" fillId="0" borderId="3" applyFont="0" applyFill="0" applyAlignment="0" applyProtection="0"/>
    <xf numFmtId="0" fontId="13"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9" fillId="0" borderId="0" applyNumberFormat="0" applyFill="0" applyProtection="0">
      <alignment horizontal="right" indent="1"/>
    </xf>
    <xf numFmtId="165" fontId="9" fillId="0" borderId="3">
      <alignment horizontal="center" vertical="center"/>
    </xf>
    <xf numFmtId="164" fontId="9" fillId="0" borderId="2" applyFill="0">
      <alignment horizontal="center" vertical="center"/>
    </xf>
    <xf numFmtId="0" fontId="9" fillId="0" borderId="2" applyFill="0">
      <alignment horizontal="center" vertical="center"/>
    </xf>
    <xf numFmtId="0" fontId="9" fillId="0" borderId="2" applyFill="0">
      <alignment horizontal="left" vertical="center" indent="2"/>
    </xf>
  </cellStyleXfs>
  <cellXfs count="89">
    <xf numFmtId="0" fontId="0" fillId="0" borderId="0" xfId="0"/>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167" fontId="11" fillId="7" borderId="0" xfId="0" applyNumberFormat="1" applyFont="1" applyFill="1" applyAlignment="1">
      <alignment horizontal="center" vertical="center"/>
    </xf>
    <xf numFmtId="167" fontId="11" fillId="7" borderId="6" xfId="0" applyNumberFormat="1" applyFont="1" applyFill="1" applyBorder="1" applyAlignment="1">
      <alignment horizontal="center" vertical="center"/>
    </xf>
    <xf numFmtId="167" fontId="11" fillId="7" borderId="7" xfId="0" applyNumberFormat="1" applyFont="1" applyFill="1" applyBorder="1" applyAlignment="1">
      <alignment horizontal="center" vertical="center"/>
    </xf>
    <xf numFmtId="0" fontId="12" fillId="12" borderId="8" xfId="0" applyFont="1" applyFill="1" applyBorder="1" applyAlignment="1">
      <alignment horizontal="center" vertical="center" shrinkToFit="1"/>
    </xf>
    <xf numFmtId="0" fontId="14" fillId="0" borderId="0" xfId="0" applyFont="1"/>
    <xf numFmtId="0" fontId="15" fillId="0" borderId="0" xfId="1" applyFont="1" applyAlignment="1" applyProtection="1"/>
    <xf numFmtId="9" fontId="5" fillId="0" borderId="2" xfId="2"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9" fontId="5" fillId="8" borderId="2" xfId="2" applyFont="1" applyFill="1" applyBorder="1" applyAlignment="1">
      <alignment horizontal="center" vertical="center"/>
    </xf>
    <xf numFmtId="164" fontId="0" fillId="8" borderId="2" xfId="0" applyNumberFormat="1" applyFill="1" applyBorder="1" applyAlignment="1">
      <alignment horizontal="center" vertical="center"/>
    </xf>
    <xf numFmtId="164" fontId="5" fillId="8" borderId="2" xfId="0" applyNumberFormat="1" applyFont="1" applyFill="1" applyBorder="1" applyAlignment="1">
      <alignment horizontal="center" vertical="center"/>
    </xf>
    <xf numFmtId="0" fontId="6" fillId="9" borderId="2" xfId="0" applyFont="1" applyFill="1" applyBorder="1" applyAlignment="1">
      <alignment horizontal="left" vertical="center" indent="1"/>
    </xf>
    <xf numFmtId="164" fontId="0" fillId="9" borderId="2" xfId="0" applyNumberFormat="1" applyFill="1" applyBorder="1" applyAlignment="1">
      <alignment horizontal="center" vertical="center"/>
    </xf>
    <xf numFmtId="164" fontId="5" fillId="9" borderId="2" xfId="0" applyNumberFormat="1" applyFont="1" applyFill="1" applyBorder="1" applyAlignment="1">
      <alignment horizontal="center" vertical="center"/>
    </xf>
    <xf numFmtId="0" fontId="6" fillId="6" borderId="2" xfId="0" applyFont="1" applyFill="1" applyBorder="1" applyAlignment="1">
      <alignment horizontal="left" vertical="center" indent="1"/>
    </xf>
    <xf numFmtId="164" fontId="0" fillId="6" borderId="2" xfId="0" applyNumberFormat="1" applyFill="1" applyBorder="1" applyAlignment="1">
      <alignment horizontal="center" vertical="center"/>
    </xf>
    <xf numFmtId="164" fontId="5" fillId="6" borderId="2" xfId="0" applyNumberFormat="1" applyFont="1" applyFill="1" applyBorder="1" applyAlignment="1">
      <alignment horizontal="center" vertical="center"/>
    </xf>
    <xf numFmtId="0" fontId="6" fillId="5" borderId="2" xfId="0" applyFont="1" applyFill="1" applyBorder="1" applyAlignment="1">
      <alignment horizontal="left" vertical="center" indent="1"/>
    </xf>
    <xf numFmtId="164" fontId="0" fillId="5" borderId="2" xfId="0" applyNumberFormat="1" applyFill="1" applyBorder="1" applyAlignment="1">
      <alignment horizontal="center" vertical="center"/>
    </xf>
    <xf numFmtId="164" fontId="5" fillId="5" borderId="2" xfId="0" applyNumberFormat="1"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164" fontId="4" fillId="2" borderId="2" xfId="0" applyNumberFormat="1" applyFont="1" applyFill="1" applyBorder="1" applyAlignment="1">
      <alignment horizontal="left" vertical="center"/>
    </xf>
    <xf numFmtId="164" fontId="5" fillId="2" borderId="2"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6" fillId="0" borderId="0" xfId="0" applyFont="1" applyAlignment="1">
      <alignment horizontal="left" vertical="center"/>
    </xf>
    <xf numFmtId="0" fontId="17" fillId="0" borderId="0" xfId="0" applyFont="1" applyAlignment="1">
      <alignment horizontal="left" vertical="center"/>
    </xf>
    <xf numFmtId="0" fontId="19" fillId="0" borderId="0" xfId="0" applyFont="1"/>
    <xf numFmtId="0" fontId="21" fillId="0" borderId="0" xfId="0" applyFont="1" applyAlignment="1">
      <alignment vertical="center"/>
    </xf>
    <xf numFmtId="0" fontId="20" fillId="0" borderId="0" xfId="0" applyFont="1" applyAlignment="1">
      <alignment horizontal="left" vertical="top" wrapText="1" indent="1"/>
    </xf>
    <xf numFmtId="0" fontId="2" fillId="0" borderId="0" xfId="0" applyFont="1" applyAlignment="1">
      <alignment horizontal="left" vertical="top"/>
    </xf>
    <xf numFmtId="0" fontId="18"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2" fillId="0" borderId="0" xfId="3"/>
    <xf numFmtId="0" fontId="22" fillId="0" borderId="0" xfId="3" applyAlignment="1">
      <alignment wrapText="1"/>
    </xf>
    <xf numFmtId="0" fontId="22" fillId="0" borderId="0" xfId="0" applyFont="1" applyAlignment="1">
      <alignment horizontal="center"/>
    </xf>
    <xf numFmtId="0" fontId="15" fillId="0" borderId="0" xfId="1" applyFont="1" applyProtection="1">
      <alignment vertical="top"/>
    </xf>
    <xf numFmtId="0" fontId="0" fillId="0" borderId="0" xfId="0" applyAlignment="1">
      <alignment wrapText="1"/>
    </xf>
    <xf numFmtId="0" fontId="13" fillId="0" borderId="0" xfId="5" applyAlignment="1">
      <alignment horizontal="left"/>
    </xf>
    <xf numFmtId="0" fontId="10" fillId="0" borderId="0" xfId="6"/>
    <xf numFmtId="0" fontId="10" fillId="0" borderId="0" xfId="7">
      <alignment vertical="top"/>
    </xf>
    <xf numFmtId="164" fontId="9" fillId="3" borderId="2" xfId="10" applyFill="1">
      <alignment horizontal="center" vertical="center"/>
    </xf>
    <xf numFmtId="164" fontId="9" fillId="4" borderId="2" xfId="10" applyFill="1">
      <alignment horizontal="center" vertical="center"/>
    </xf>
    <xf numFmtId="164" fontId="9" fillId="11" borderId="2" xfId="10" applyFill="1">
      <alignment horizontal="center" vertical="center"/>
    </xf>
    <xf numFmtId="164" fontId="9" fillId="10" borderId="2" xfId="10" applyFill="1">
      <alignment horizontal="center" vertical="center"/>
    </xf>
    <xf numFmtId="164" fontId="9" fillId="0" borderId="2" xfId="10">
      <alignment horizontal="center" vertical="center"/>
    </xf>
    <xf numFmtId="0" fontId="9" fillId="8" borderId="2" xfId="11" applyFill="1">
      <alignment horizontal="center" vertical="center"/>
    </xf>
    <xf numFmtId="0" fontId="9" fillId="0" borderId="2" xfId="11">
      <alignment horizontal="center" vertical="center"/>
    </xf>
    <xf numFmtId="0" fontId="9" fillId="3" borderId="2" xfId="12" applyFill="1">
      <alignment horizontal="left" vertical="center" indent="2"/>
    </xf>
    <xf numFmtId="0" fontId="9" fillId="4" borderId="2" xfId="12" applyFill="1">
      <alignment horizontal="left" vertical="center" indent="2"/>
    </xf>
    <xf numFmtId="0" fontId="9" fillId="11" borderId="2" xfId="12" applyFill="1">
      <alignment horizontal="left" vertical="center" indent="2"/>
    </xf>
    <xf numFmtId="0" fontId="9" fillId="10" borderId="2" xfId="12" applyFill="1">
      <alignment horizontal="left" vertical="center" indent="2"/>
    </xf>
    <xf numFmtId="0" fontId="9" fillId="0" borderId="2" xfId="12">
      <alignment horizontal="left" vertical="center" indent="2"/>
    </xf>
    <xf numFmtId="0" fontId="0" fillId="0" borderId="10" xfId="0" applyBorder="1" applyAlignment="1"/>
    <xf numFmtId="0" fontId="1" fillId="0" borderId="0" xfId="0" applyFont="1" applyAlignment="1"/>
    <xf numFmtId="0" fontId="9" fillId="10" borderId="2" xfId="11" applyFill="1">
      <alignment horizontal="center" vertical="center"/>
    </xf>
    <xf numFmtId="0" fontId="9" fillId="11" borderId="2" xfId="11" applyFill="1">
      <alignment horizontal="center" vertical="center"/>
    </xf>
    <xf numFmtId="0" fontId="9" fillId="5" borderId="2" xfId="11" applyFill="1">
      <alignment horizontal="center" vertical="center"/>
    </xf>
    <xf numFmtId="0" fontId="9" fillId="4" borderId="2" xfId="11" applyFill="1">
      <alignment horizontal="center" vertical="center"/>
    </xf>
    <xf numFmtId="0" fontId="9" fillId="6" borderId="2" xfId="11" applyFill="1">
      <alignment horizontal="center" vertical="center"/>
    </xf>
    <xf numFmtId="166" fontId="0" fillId="7" borderId="4" xfId="0" applyNumberFormat="1" applyFill="1" applyBorder="1" applyAlignment="1">
      <alignment horizontal="left" vertical="center" wrapText="1" indent="1"/>
    </xf>
    <xf numFmtId="166" fontId="0" fillId="7" borderId="1" xfId="0" applyNumberFormat="1" applyFill="1" applyBorder="1" applyAlignment="1">
      <alignment horizontal="left" vertical="center" wrapText="1" indent="1"/>
    </xf>
    <xf numFmtId="166" fontId="0" fillId="7" borderId="5" xfId="0" applyNumberFormat="1" applyFill="1" applyBorder="1" applyAlignment="1">
      <alignment horizontal="left" vertical="center" wrapText="1" indent="1"/>
    </xf>
    <xf numFmtId="0" fontId="9" fillId="0" borderId="0" xfId="8" applyAlignment="1">
      <alignment horizontal="center"/>
    </xf>
    <xf numFmtId="0" fontId="9" fillId="0" borderId="7" xfId="8" applyBorder="1" applyAlignment="1">
      <alignment horizontal="center"/>
    </xf>
    <xf numFmtId="0" fontId="7" fillId="13" borderId="1" xfId="0" applyFont="1" applyFill="1" applyBorder="1" applyAlignment="1">
      <alignment horizontal="center" vertical="center" wrapText="1"/>
    </xf>
    <xf numFmtId="165" fontId="9" fillId="0" borderId="11" xfId="9" applyBorder="1" applyAlignment="1">
      <alignment horizontal="center" vertical="center"/>
    </xf>
    <xf numFmtId="165" fontId="9" fillId="0" borderId="12" xfId="9" applyBorder="1" applyAlignment="1">
      <alignment horizontal="center" vertical="center"/>
    </xf>
    <xf numFmtId="0" fontId="9" fillId="3" borderId="2" xfId="11" applyFill="1" applyAlignment="1">
      <alignment horizontal="center" vertical="center"/>
    </xf>
    <xf numFmtId="0" fontId="9" fillId="3" borderId="2" xfId="11" applyFill="1">
      <alignment horizontal="center" vertical="center"/>
    </xf>
    <xf numFmtId="0" fontId="9" fillId="9" borderId="2" xfId="11" applyFill="1">
      <alignment horizontal="center" vertical="center"/>
    </xf>
    <xf numFmtId="0" fontId="0" fillId="0" borderId="0" xfId="0" applyAlignment="1">
      <alignment horizontal="center"/>
    </xf>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Picture 1" descr="Vertex42 logo">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topLeftCell="B1" zoomScaleNormal="100" zoomScalePageLayoutView="70" workbookViewId="0">
      <pane ySplit="6" topLeftCell="A8" activePane="bottomLeft" state="frozen"/>
      <selection pane="bottomLeft" activeCell="F31" sqref="F31"/>
    </sheetView>
  </sheetViews>
  <sheetFormatPr baseColWidth="10" defaultColWidth="8.83203125" defaultRowHeight="30" customHeight="1" x14ac:dyDescent="0.2"/>
  <cols>
    <col min="1" max="1" width="2.6640625" style="50" customWidth="1"/>
    <col min="2" max="2" width="32.5" bestFit="1" customWidth="1"/>
    <col min="3" max="3" width="19.6640625" customWidth="1"/>
    <col min="4" max="4" width="6.5" hidden="1" customWidth="1"/>
    <col min="5" max="5" width="10.5" style="4" customWidth="1"/>
    <col min="6" max="6" width="10.5" customWidth="1"/>
    <col min="7" max="7" width="2.6640625" customWidth="1"/>
    <col min="8" max="8" width="6.1640625" hidden="1" customWidth="1"/>
    <col min="9" max="64" width="2.5" customWidth="1"/>
    <col min="69" max="70" width="10.33203125"/>
  </cols>
  <sheetData>
    <row r="1" spans="1:64" ht="30" customHeight="1" x14ac:dyDescent="0.35">
      <c r="A1" s="51" t="s">
        <v>28</v>
      </c>
      <c r="B1" s="55" t="s">
        <v>37</v>
      </c>
      <c r="C1" s="71"/>
      <c r="D1" s="71"/>
      <c r="E1" s="3"/>
      <c r="F1" s="39"/>
      <c r="H1" s="1"/>
      <c r="I1" s="13" t="s">
        <v>11</v>
      </c>
    </row>
    <row r="2" spans="1:64" ht="30" customHeight="1" x14ac:dyDescent="0.25">
      <c r="A2" s="50" t="s">
        <v>23</v>
      </c>
      <c r="B2" s="56" t="s">
        <v>38</v>
      </c>
      <c r="C2" s="88" t="s">
        <v>56</v>
      </c>
      <c r="D2" s="88"/>
      <c r="E2" s="83">
        <f ca="1">TODAY()</f>
        <v>44136</v>
      </c>
      <c r="F2" s="84"/>
      <c r="I2" s="53" t="s">
        <v>16</v>
      </c>
    </row>
    <row r="3" spans="1:64" ht="30" customHeight="1" x14ac:dyDescent="0.2">
      <c r="A3" s="50" t="s">
        <v>29</v>
      </c>
      <c r="B3" s="57" t="s">
        <v>39</v>
      </c>
      <c r="C3" s="80" t="s">
        <v>1</v>
      </c>
      <c r="D3" s="81"/>
      <c r="E3" s="83">
        <f>DATE(2020, 10, 20)</f>
        <v>44124</v>
      </c>
      <c r="F3" s="84"/>
    </row>
    <row r="4" spans="1:64" ht="30" customHeight="1" x14ac:dyDescent="0.2">
      <c r="A4" s="51" t="s">
        <v>30</v>
      </c>
      <c r="C4" s="80" t="s">
        <v>7</v>
      </c>
      <c r="D4" s="81"/>
      <c r="E4" s="6">
        <v>1</v>
      </c>
      <c r="I4" s="77">
        <f>I5</f>
        <v>44123</v>
      </c>
      <c r="J4" s="78"/>
      <c r="K4" s="78"/>
      <c r="L4" s="78"/>
      <c r="M4" s="78"/>
      <c r="N4" s="78"/>
      <c r="O4" s="79"/>
      <c r="P4" s="77">
        <f>P5</f>
        <v>44130</v>
      </c>
      <c r="Q4" s="78"/>
      <c r="R4" s="78"/>
      <c r="S4" s="78"/>
      <c r="T4" s="78"/>
      <c r="U4" s="78"/>
      <c r="V4" s="79"/>
      <c r="W4" s="77">
        <f>W5</f>
        <v>44137</v>
      </c>
      <c r="X4" s="78"/>
      <c r="Y4" s="78"/>
      <c r="Z4" s="78"/>
      <c r="AA4" s="78"/>
      <c r="AB4" s="78"/>
      <c r="AC4" s="79"/>
      <c r="AD4" s="77">
        <f>AD5</f>
        <v>44144</v>
      </c>
      <c r="AE4" s="78"/>
      <c r="AF4" s="78"/>
      <c r="AG4" s="78"/>
      <c r="AH4" s="78"/>
      <c r="AI4" s="78"/>
      <c r="AJ4" s="79"/>
      <c r="AK4" s="77">
        <f>AK5</f>
        <v>44151</v>
      </c>
      <c r="AL4" s="78"/>
      <c r="AM4" s="78"/>
      <c r="AN4" s="78"/>
      <c r="AO4" s="78"/>
      <c r="AP4" s="78"/>
      <c r="AQ4" s="79"/>
      <c r="AR4" s="77">
        <f>AR5</f>
        <v>44158</v>
      </c>
      <c r="AS4" s="78"/>
      <c r="AT4" s="78"/>
      <c r="AU4" s="78"/>
      <c r="AV4" s="78"/>
      <c r="AW4" s="78"/>
      <c r="AX4" s="79"/>
      <c r="AY4" s="77">
        <f>AY5</f>
        <v>44165</v>
      </c>
      <c r="AZ4" s="78"/>
      <c r="BA4" s="78"/>
      <c r="BB4" s="78"/>
      <c r="BC4" s="78"/>
      <c r="BD4" s="78"/>
      <c r="BE4" s="79"/>
      <c r="BF4" s="77">
        <f>BF5</f>
        <v>44172</v>
      </c>
      <c r="BG4" s="78"/>
      <c r="BH4" s="78"/>
      <c r="BI4" s="78"/>
      <c r="BJ4" s="78"/>
      <c r="BK4" s="78"/>
      <c r="BL4" s="79"/>
    </row>
    <row r="5" spans="1:64" ht="15" customHeight="1" x14ac:dyDescent="0.2">
      <c r="A5" s="51" t="s">
        <v>31</v>
      </c>
      <c r="B5" s="70"/>
      <c r="C5" s="70"/>
      <c r="D5" s="70"/>
      <c r="E5" s="70"/>
      <c r="F5" s="70"/>
      <c r="G5" s="70"/>
      <c r="I5" s="10">
        <f>Project_Start-WEEKDAY(Project_Start,1)+2+7*(Display_Week-1)</f>
        <v>44123</v>
      </c>
      <c r="J5" s="9">
        <f>I5+1</f>
        <v>44124</v>
      </c>
      <c r="K5" s="9">
        <f t="shared" ref="K5:AX5" si="0">J5+1</f>
        <v>44125</v>
      </c>
      <c r="L5" s="9">
        <f t="shared" si="0"/>
        <v>44126</v>
      </c>
      <c r="M5" s="9">
        <f t="shared" si="0"/>
        <v>44127</v>
      </c>
      <c r="N5" s="9">
        <f t="shared" si="0"/>
        <v>44128</v>
      </c>
      <c r="O5" s="11">
        <f t="shared" si="0"/>
        <v>44129</v>
      </c>
      <c r="P5" s="10">
        <f>O5+1</f>
        <v>44130</v>
      </c>
      <c r="Q5" s="9">
        <f>P5+1</f>
        <v>44131</v>
      </c>
      <c r="R5" s="9">
        <f t="shared" si="0"/>
        <v>44132</v>
      </c>
      <c r="S5" s="9">
        <f t="shared" si="0"/>
        <v>44133</v>
      </c>
      <c r="T5" s="9">
        <f t="shared" si="0"/>
        <v>44134</v>
      </c>
      <c r="U5" s="9">
        <f t="shared" si="0"/>
        <v>44135</v>
      </c>
      <c r="V5" s="11">
        <f t="shared" si="0"/>
        <v>44136</v>
      </c>
      <c r="W5" s="10">
        <f>V5+1</f>
        <v>44137</v>
      </c>
      <c r="X5" s="9">
        <f>W5+1</f>
        <v>44138</v>
      </c>
      <c r="Y5" s="9">
        <f t="shared" si="0"/>
        <v>44139</v>
      </c>
      <c r="Z5" s="9">
        <f t="shared" si="0"/>
        <v>44140</v>
      </c>
      <c r="AA5" s="9">
        <f t="shared" si="0"/>
        <v>44141</v>
      </c>
      <c r="AB5" s="9">
        <f t="shared" si="0"/>
        <v>44142</v>
      </c>
      <c r="AC5" s="11">
        <f t="shared" si="0"/>
        <v>44143</v>
      </c>
      <c r="AD5" s="10">
        <f>AC5+1</f>
        <v>44144</v>
      </c>
      <c r="AE5" s="9">
        <f>AD5+1</f>
        <v>44145</v>
      </c>
      <c r="AF5" s="9">
        <f t="shared" si="0"/>
        <v>44146</v>
      </c>
      <c r="AG5" s="9">
        <f t="shared" si="0"/>
        <v>44147</v>
      </c>
      <c r="AH5" s="9">
        <f t="shared" si="0"/>
        <v>44148</v>
      </c>
      <c r="AI5" s="9">
        <f t="shared" si="0"/>
        <v>44149</v>
      </c>
      <c r="AJ5" s="11">
        <f t="shared" si="0"/>
        <v>44150</v>
      </c>
      <c r="AK5" s="10">
        <f>AJ5+1</f>
        <v>44151</v>
      </c>
      <c r="AL5" s="9">
        <f>AK5+1</f>
        <v>44152</v>
      </c>
      <c r="AM5" s="9">
        <f t="shared" si="0"/>
        <v>44153</v>
      </c>
      <c r="AN5" s="9">
        <f t="shared" si="0"/>
        <v>44154</v>
      </c>
      <c r="AO5" s="9">
        <f t="shared" si="0"/>
        <v>44155</v>
      </c>
      <c r="AP5" s="9">
        <f t="shared" si="0"/>
        <v>44156</v>
      </c>
      <c r="AQ5" s="11">
        <f t="shared" si="0"/>
        <v>44157</v>
      </c>
      <c r="AR5" s="10">
        <f>AQ5+1</f>
        <v>44158</v>
      </c>
      <c r="AS5" s="9">
        <f>AR5+1</f>
        <v>44159</v>
      </c>
      <c r="AT5" s="9">
        <f t="shared" si="0"/>
        <v>44160</v>
      </c>
      <c r="AU5" s="9">
        <f t="shared" si="0"/>
        <v>44161</v>
      </c>
      <c r="AV5" s="9">
        <f t="shared" si="0"/>
        <v>44162</v>
      </c>
      <c r="AW5" s="9">
        <f t="shared" si="0"/>
        <v>44163</v>
      </c>
      <c r="AX5" s="11">
        <f t="shared" si="0"/>
        <v>44164</v>
      </c>
      <c r="AY5" s="10">
        <f>AX5+1</f>
        <v>44165</v>
      </c>
      <c r="AZ5" s="9">
        <f>AY5+1</f>
        <v>44166</v>
      </c>
      <c r="BA5" s="9">
        <f t="shared" ref="BA5:BE5" si="1">AZ5+1</f>
        <v>44167</v>
      </c>
      <c r="BB5" s="9">
        <f t="shared" si="1"/>
        <v>44168</v>
      </c>
      <c r="BC5" s="9">
        <f t="shared" si="1"/>
        <v>44169</v>
      </c>
      <c r="BD5" s="9">
        <f t="shared" si="1"/>
        <v>44170</v>
      </c>
      <c r="BE5" s="11">
        <f t="shared" si="1"/>
        <v>44171</v>
      </c>
      <c r="BF5" s="10">
        <f>BE5+1</f>
        <v>44172</v>
      </c>
      <c r="BG5" s="9">
        <f>BF5+1</f>
        <v>44173</v>
      </c>
      <c r="BH5" s="9">
        <f t="shared" ref="BH5:BL5" si="2">BG5+1</f>
        <v>44174</v>
      </c>
      <c r="BI5" s="9">
        <f t="shared" si="2"/>
        <v>44175</v>
      </c>
      <c r="BJ5" s="9">
        <f t="shared" si="2"/>
        <v>44176</v>
      </c>
      <c r="BK5" s="9">
        <f t="shared" si="2"/>
        <v>44177</v>
      </c>
      <c r="BL5" s="11">
        <f t="shared" si="2"/>
        <v>44178</v>
      </c>
    </row>
    <row r="6" spans="1:64" ht="30" customHeight="1" thickBot="1" x14ac:dyDescent="0.25">
      <c r="A6" s="51" t="s">
        <v>32</v>
      </c>
      <c r="B6" s="7" t="s">
        <v>8</v>
      </c>
      <c r="C6" s="82" t="s">
        <v>2</v>
      </c>
      <c r="D6" s="82"/>
      <c r="E6" s="8" t="s">
        <v>4</v>
      </c>
      <c r="F6" s="8" t="s">
        <v>5</v>
      </c>
      <c r="G6" s="8"/>
      <c r="H6" s="8" t="s">
        <v>6</v>
      </c>
      <c r="I6" s="12" t="str">
        <f t="shared" ref="I6" si="3">LEFT(TEXT(I5,"ddd"),1)</f>
        <v>M</v>
      </c>
      <c r="J6" s="12" t="str">
        <f t="shared" ref="J6:AR6" si="4">LEFT(TEXT(J5,"ddd"),1)</f>
        <v>T</v>
      </c>
      <c r="K6" s="12" t="str">
        <f t="shared" si="4"/>
        <v>W</v>
      </c>
      <c r="L6" s="12" t="str">
        <f t="shared" si="4"/>
        <v>T</v>
      </c>
      <c r="M6" s="12" t="str">
        <f t="shared" si="4"/>
        <v>F</v>
      </c>
      <c r="N6" s="12" t="str">
        <f t="shared" si="4"/>
        <v>S</v>
      </c>
      <c r="O6" s="12" t="str">
        <f t="shared" si="4"/>
        <v>S</v>
      </c>
      <c r="P6" s="12" t="str">
        <f t="shared" si="4"/>
        <v>M</v>
      </c>
      <c r="Q6" s="12" t="str">
        <f t="shared" si="4"/>
        <v>T</v>
      </c>
      <c r="R6" s="12" t="str">
        <f t="shared" si="4"/>
        <v>W</v>
      </c>
      <c r="S6" s="12" t="str">
        <f t="shared" si="4"/>
        <v>T</v>
      </c>
      <c r="T6" s="12" t="str">
        <f t="shared" si="4"/>
        <v>F</v>
      </c>
      <c r="U6" s="12" t="str">
        <f t="shared" si="4"/>
        <v>S</v>
      </c>
      <c r="V6" s="12" t="str">
        <f t="shared" si="4"/>
        <v>S</v>
      </c>
      <c r="W6" s="12" t="str">
        <f t="shared" si="4"/>
        <v>M</v>
      </c>
      <c r="X6" s="12" t="str">
        <f t="shared" si="4"/>
        <v>T</v>
      </c>
      <c r="Y6" s="12" t="str">
        <f t="shared" si="4"/>
        <v>W</v>
      </c>
      <c r="Z6" s="12" t="str">
        <f t="shared" si="4"/>
        <v>T</v>
      </c>
      <c r="AA6" s="12" t="str">
        <f t="shared" si="4"/>
        <v>F</v>
      </c>
      <c r="AB6" s="12" t="str">
        <f t="shared" si="4"/>
        <v>S</v>
      </c>
      <c r="AC6" s="12" t="str">
        <f t="shared" si="4"/>
        <v>S</v>
      </c>
      <c r="AD6" s="12" t="str">
        <f t="shared" si="4"/>
        <v>M</v>
      </c>
      <c r="AE6" s="12" t="str">
        <f t="shared" si="4"/>
        <v>T</v>
      </c>
      <c r="AF6" s="12" t="str">
        <f t="shared" si="4"/>
        <v>W</v>
      </c>
      <c r="AG6" s="12" t="str">
        <f t="shared" si="4"/>
        <v>T</v>
      </c>
      <c r="AH6" s="12" t="str">
        <f t="shared" si="4"/>
        <v>F</v>
      </c>
      <c r="AI6" s="12" t="str">
        <f t="shared" si="4"/>
        <v>S</v>
      </c>
      <c r="AJ6" s="12" t="str">
        <f t="shared" si="4"/>
        <v>S</v>
      </c>
      <c r="AK6" s="12" t="str">
        <f t="shared" si="4"/>
        <v>M</v>
      </c>
      <c r="AL6" s="12" t="str">
        <f t="shared" si="4"/>
        <v>T</v>
      </c>
      <c r="AM6" s="12" t="str">
        <f t="shared" si="4"/>
        <v>W</v>
      </c>
      <c r="AN6" s="12" t="str">
        <f t="shared" si="4"/>
        <v>T</v>
      </c>
      <c r="AO6" s="12" t="str">
        <f t="shared" si="4"/>
        <v>F</v>
      </c>
      <c r="AP6" s="12" t="str">
        <f t="shared" si="4"/>
        <v>S</v>
      </c>
      <c r="AQ6" s="12" t="str">
        <f t="shared" si="4"/>
        <v>S</v>
      </c>
      <c r="AR6" s="12" t="str">
        <f t="shared" si="4"/>
        <v>M</v>
      </c>
      <c r="AS6" s="12" t="str">
        <f t="shared" ref="AS6:BL6" si="5">LEFT(TEXT(AS5,"ddd"),1)</f>
        <v>T</v>
      </c>
      <c r="AT6" s="12" t="str">
        <f t="shared" si="5"/>
        <v>W</v>
      </c>
      <c r="AU6" s="12" t="str">
        <f t="shared" si="5"/>
        <v>T</v>
      </c>
      <c r="AV6" s="12" t="str">
        <f t="shared" si="5"/>
        <v>F</v>
      </c>
      <c r="AW6" s="12" t="str">
        <f t="shared" si="5"/>
        <v>S</v>
      </c>
      <c r="AX6" s="12" t="str">
        <f t="shared" si="5"/>
        <v>S</v>
      </c>
      <c r="AY6" s="12" t="str">
        <f t="shared" si="5"/>
        <v>M</v>
      </c>
      <c r="AZ6" s="12" t="str">
        <f t="shared" si="5"/>
        <v>T</v>
      </c>
      <c r="BA6" s="12" t="str">
        <f t="shared" si="5"/>
        <v>W</v>
      </c>
      <c r="BB6" s="12" t="str">
        <f t="shared" si="5"/>
        <v>T</v>
      </c>
      <c r="BC6" s="12" t="str">
        <f t="shared" si="5"/>
        <v>F</v>
      </c>
      <c r="BD6" s="12" t="str">
        <f t="shared" si="5"/>
        <v>S</v>
      </c>
      <c r="BE6" s="12" t="str">
        <f t="shared" si="5"/>
        <v>S</v>
      </c>
      <c r="BF6" s="12" t="str">
        <f t="shared" si="5"/>
        <v>M</v>
      </c>
      <c r="BG6" s="12" t="str">
        <f t="shared" si="5"/>
        <v>T</v>
      </c>
      <c r="BH6" s="12" t="str">
        <f t="shared" si="5"/>
        <v>W</v>
      </c>
      <c r="BI6" s="12" t="str">
        <f t="shared" si="5"/>
        <v>T</v>
      </c>
      <c r="BJ6" s="12" t="str">
        <f t="shared" si="5"/>
        <v>F</v>
      </c>
      <c r="BK6" s="12" t="str">
        <f t="shared" si="5"/>
        <v>S</v>
      </c>
      <c r="BL6" s="12" t="str">
        <f t="shared" si="5"/>
        <v>S</v>
      </c>
    </row>
    <row r="7" spans="1:64" ht="30" hidden="1" customHeight="1" thickBot="1" x14ac:dyDescent="0.25">
      <c r="A7" s="50" t="s">
        <v>27</v>
      </c>
      <c r="C7" s="54"/>
      <c r="E7"/>
      <c r="H7" t="str">
        <f>IF(OR(ISBLANK(task_start),ISBLANK(task_end)),"",task_end-task_start+1)</f>
        <v/>
      </c>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row>
    <row r="8" spans="1:64" s="2" customFormat="1" ht="30" customHeight="1" thickBot="1" x14ac:dyDescent="0.25">
      <c r="A8" s="51" t="s">
        <v>33</v>
      </c>
      <c r="B8" s="17" t="s">
        <v>40</v>
      </c>
      <c r="C8" s="63"/>
      <c r="D8" s="18"/>
      <c r="E8" s="19"/>
      <c r="F8" s="20"/>
      <c r="G8" s="16"/>
      <c r="H8" s="16" t="str">
        <f t="shared" ref="H8:H33" si="6">IF(OR(ISBLANK(task_start),ISBLANK(task_end)),"",task_end-task_start+1)</f>
        <v/>
      </c>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row>
    <row r="9" spans="1:64" s="2" customFormat="1" ht="30" customHeight="1" thickBot="1" x14ac:dyDescent="0.25">
      <c r="A9" s="51" t="s">
        <v>34</v>
      </c>
      <c r="B9" s="65" t="s">
        <v>42</v>
      </c>
      <c r="C9" s="85" t="s">
        <v>41</v>
      </c>
      <c r="D9" s="85"/>
      <c r="E9" s="58">
        <f>Project_Start</f>
        <v>44124</v>
      </c>
      <c r="F9" s="58">
        <f>E9+4</f>
        <v>44128</v>
      </c>
      <c r="G9" s="16"/>
      <c r="H9" s="16">
        <f t="shared" si="6"/>
        <v>5</v>
      </c>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row>
    <row r="10" spans="1:64" s="2" customFormat="1" ht="30" customHeight="1" thickBot="1" x14ac:dyDescent="0.25">
      <c r="A10" s="51" t="s">
        <v>35</v>
      </c>
      <c r="B10" s="65" t="s">
        <v>43</v>
      </c>
      <c r="C10" s="86" t="s">
        <v>41</v>
      </c>
      <c r="D10" s="86"/>
      <c r="E10" s="58">
        <f>F9</f>
        <v>44128</v>
      </c>
      <c r="F10" s="58">
        <f>E10+2</f>
        <v>44130</v>
      </c>
      <c r="G10" s="16"/>
      <c r="H10" s="16">
        <f t="shared" si="6"/>
        <v>3</v>
      </c>
      <c r="I10" s="36"/>
      <c r="J10" s="36"/>
      <c r="K10" s="36"/>
      <c r="L10" s="36"/>
      <c r="M10" s="36"/>
      <c r="N10" s="36"/>
      <c r="O10" s="36"/>
      <c r="P10" s="36"/>
      <c r="Q10" s="36"/>
      <c r="R10" s="36"/>
      <c r="S10" s="36"/>
      <c r="T10" s="36"/>
      <c r="U10" s="37"/>
      <c r="V10" s="37"/>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row>
    <row r="11" spans="1:64" s="2" customFormat="1" ht="30" customHeight="1" thickBot="1" x14ac:dyDescent="0.25">
      <c r="A11" s="50"/>
      <c r="B11" s="65" t="s">
        <v>44</v>
      </c>
      <c r="C11" s="86" t="s">
        <v>45</v>
      </c>
      <c r="D11" s="86"/>
      <c r="E11" s="58">
        <f>F10</f>
        <v>44130</v>
      </c>
      <c r="F11" s="58">
        <f>E11+6</f>
        <v>44136</v>
      </c>
      <c r="G11" s="16"/>
      <c r="H11" s="16">
        <f t="shared" si="6"/>
        <v>7</v>
      </c>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row>
    <row r="12" spans="1:64" s="2" customFormat="1" ht="30" customHeight="1" thickBot="1" x14ac:dyDescent="0.25">
      <c r="A12" s="50"/>
      <c r="B12" s="65" t="s">
        <v>46</v>
      </c>
      <c r="C12" s="86" t="s">
        <v>41</v>
      </c>
      <c r="D12" s="86"/>
      <c r="E12" s="58">
        <f>F11-1</f>
        <v>44135</v>
      </c>
      <c r="F12" s="58">
        <f>E12+3</f>
        <v>44138</v>
      </c>
      <c r="G12" s="16"/>
      <c r="H12" s="16">
        <f t="shared" si="6"/>
        <v>4</v>
      </c>
      <c r="I12" s="36"/>
      <c r="J12" s="36"/>
      <c r="K12" s="36"/>
      <c r="L12" s="36"/>
      <c r="M12" s="36"/>
      <c r="N12" s="36"/>
      <c r="O12" s="36"/>
      <c r="P12" s="36"/>
      <c r="Q12" s="36"/>
      <c r="R12" s="36"/>
      <c r="S12" s="36"/>
      <c r="T12" s="36"/>
      <c r="U12" s="36"/>
      <c r="V12" s="36"/>
      <c r="W12" s="36"/>
      <c r="X12" s="36"/>
      <c r="Y12" s="37"/>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row>
    <row r="13" spans="1:64" s="2" customFormat="1" ht="30" customHeight="1" thickBot="1" x14ac:dyDescent="0.25">
      <c r="A13" s="50"/>
      <c r="B13" s="65" t="s">
        <v>47</v>
      </c>
      <c r="C13" s="86" t="s">
        <v>45</v>
      </c>
      <c r="D13" s="86"/>
      <c r="E13" s="58">
        <f>F12 - 1</f>
        <v>44137</v>
      </c>
      <c r="F13" s="58">
        <f>E13+1</f>
        <v>44138</v>
      </c>
      <c r="G13" s="16"/>
      <c r="H13" s="16">
        <f t="shared" si="6"/>
        <v>2</v>
      </c>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c r="AZ13" s="36"/>
      <c r="BA13" s="36"/>
      <c r="BB13" s="36"/>
      <c r="BC13" s="36"/>
      <c r="BD13" s="36"/>
      <c r="BE13" s="36"/>
      <c r="BF13" s="36"/>
      <c r="BG13" s="36"/>
      <c r="BH13" s="36"/>
      <c r="BI13" s="36"/>
      <c r="BJ13" s="36"/>
      <c r="BK13" s="36"/>
      <c r="BL13" s="36"/>
    </row>
    <row r="14" spans="1:64" s="2" customFormat="1" ht="30" customHeight="1" thickBot="1" x14ac:dyDescent="0.25">
      <c r="A14" s="51" t="s">
        <v>36</v>
      </c>
      <c r="B14" s="21" t="s">
        <v>48</v>
      </c>
      <c r="C14" s="87"/>
      <c r="D14" s="87"/>
      <c r="E14" s="22"/>
      <c r="F14" s="23"/>
      <c r="G14" s="16"/>
      <c r="H14" s="16" t="str">
        <f t="shared" si="6"/>
        <v/>
      </c>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row>
    <row r="15" spans="1:64" s="2" customFormat="1" ht="30" customHeight="1" thickBot="1" x14ac:dyDescent="0.25">
      <c r="A15" s="51"/>
      <c r="B15" s="66" t="s">
        <v>51</v>
      </c>
      <c r="C15" s="75" t="s">
        <v>45</v>
      </c>
      <c r="D15" s="75"/>
      <c r="E15" s="59">
        <f>F13+1</f>
        <v>44139</v>
      </c>
      <c r="F15" s="59">
        <f>E15+4</f>
        <v>44143</v>
      </c>
      <c r="G15" s="16"/>
      <c r="H15" s="16">
        <f t="shared" si="6"/>
        <v>5</v>
      </c>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row>
    <row r="16" spans="1:64" s="2" customFormat="1" ht="30" customHeight="1" thickBot="1" x14ac:dyDescent="0.25">
      <c r="A16" s="50"/>
      <c r="B16" s="66" t="s">
        <v>52</v>
      </c>
      <c r="C16" s="75" t="s">
        <v>41</v>
      </c>
      <c r="D16" s="75"/>
      <c r="E16" s="59">
        <f>E15</f>
        <v>44139</v>
      </c>
      <c r="F16" s="59">
        <f>E16+5</f>
        <v>44144</v>
      </c>
      <c r="G16" s="16"/>
      <c r="H16" s="16">
        <f t="shared" si="6"/>
        <v>6</v>
      </c>
      <c r="I16" s="36"/>
      <c r="J16" s="36"/>
      <c r="K16" s="36"/>
      <c r="L16" s="36"/>
      <c r="M16" s="36"/>
      <c r="N16" s="36"/>
      <c r="O16" s="36"/>
      <c r="P16" s="36"/>
      <c r="Q16" s="36"/>
      <c r="R16" s="36"/>
      <c r="S16" s="36"/>
      <c r="T16" s="36"/>
      <c r="U16" s="37"/>
      <c r="V16" s="37"/>
      <c r="W16" s="36"/>
      <c r="X16" s="36"/>
      <c r="Y16" s="36"/>
      <c r="Z16" s="36"/>
      <c r="AA16" s="36"/>
      <c r="AB16" s="36"/>
      <c r="AC16" s="36"/>
      <c r="AD16" s="36"/>
      <c r="AE16" s="36"/>
      <c r="AF16" s="36"/>
      <c r="AG16" s="36"/>
      <c r="AH16" s="36"/>
      <c r="AI16" s="36"/>
      <c r="AJ16" s="36"/>
      <c r="AK16" s="36"/>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row>
    <row r="17" spans="1:64" s="2" customFormat="1" ht="30" customHeight="1" thickBot="1" x14ac:dyDescent="0.25">
      <c r="A17" s="50"/>
      <c r="B17" s="66" t="s">
        <v>53</v>
      </c>
      <c r="C17" s="75" t="s">
        <v>41</v>
      </c>
      <c r="D17" s="75"/>
      <c r="E17" s="59">
        <f>F16</f>
        <v>44144</v>
      </c>
      <c r="F17" s="59">
        <f>E17+3</f>
        <v>44147</v>
      </c>
      <c r="G17" s="16"/>
      <c r="H17" s="16">
        <f t="shared" si="6"/>
        <v>4</v>
      </c>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row>
    <row r="18" spans="1:64" s="2" customFormat="1" ht="30" customHeight="1" thickBot="1" x14ac:dyDescent="0.25">
      <c r="A18" s="50"/>
      <c r="B18" s="66" t="s">
        <v>57</v>
      </c>
      <c r="C18" s="75" t="s">
        <v>45</v>
      </c>
      <c r="D18" s="75"/>
      <c r="E18" s="59">
        <f>F15</f>
        <v>44143</v>
      </c>
      <c r="F18" s="59">
        <f>E18+1</f>
        <v>44144</v>
      </c>
      <c r="G18" s="16"/>
      <c r="H18" s="16">
        <f t="shared" si="6"/>
        <v>2</v>
      </c>
      <c r="I18" s="36"/>
      <c r="J18" s="36"/>
      <c r="K18" s="36"/>
      <c r="L18" s="36"/>
      <c r="M18" s="36"/>
      <c r="N18" s="36"/>
      <c r="O18" s="36"/>
      <c r="P18" s="36"/>
      <c r="Q18" s="36"/>
      <c r="R18" s="36"/>
      <c r="S18" s="36"/>
      <c r="T18" s="36"/>
      <c r="U18" s="36"/>
      <c r="V18" s="36"/>
      <c r="W18" s="36"/>
      <c r="X18" s="36"/>
      <c r="Y18" s="37"/>
      <c r="Z18" s="36"/>
      <c r="AA18" s="36"/>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c r="AZ18" s="36"/>
      <c r="BA18" s="36"/>
      <c r="BB18" s="36"/>
      <c r="BC18" s="36"/>
      <c r="BD18" s="36"/>
      <c r="BE18" s="36"/>
      <c r="BF18" s="36"/>
      <c r="BG18" s="36"/>
      <c r="BH18" s="36"/>
      <c r="BI18" s="36"/>
      <c r="BJ18" s="36"/>
      <c r="BK18" s="36"/>
      <c r="BL18" s="36"/>
    </row>
    <row r="19" spans="1:64" s="2" customFormat="1" ht="30" customHeight="1" thickBot="1" x14ac:dyDescent="0.25">
      <c r="A19" s="50"/>
      <c r="B19" s="66" t="s">
        <v>58</v>
      </c>
      <c r="C19" s="75" t="s">
        <v>59</v>
      </c>
      <c r="D19" s="75"/>
      <c r="E19" s="59">
        <f>F18</f>
        <v>44144</v>
      </c>
      <c r="F19" s="59">
        <f>E19+3</f>
        <v>44147</v>
      </c>
      <c r="G19" s="16"/>
      <c r="H19" s="16">
        <f t="shared" si="6"/>
        <v>4</v>
      </c>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row>
    <row r="20" spans="1:64" s="2" customFormat="1" ht="30" customHeight="1" thickBot="1" x14ac:dyDescent="0.25">
      <c r="A20" s="50" t="s">
        <v>24</v>
      </c>
      <c r="B20" s="24" t="s">
        <v>50</v>
      </c>
      <c r="C20" s="76"/>
      <c r="D20" s="76"/>
      <c r="E20" s="25"/>
      <c r="F20" s="26"/>
      <c r="G20" s="16"/>
      <c r="H20" s="16" t="str">
        <f t="shared" si="6"/>
        <v/>
      </c>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row>
    <row r="21" spans="1:64" s="2" customFormat="1" ht="30" customHeight="1" thickBot="1" x14ac:dyDescent="0.25">
      <c r="A21" s="50"/>
      <c r="B21" s="67" t="s">
        <v>54</v>
      </c>
      <c r="C21" s="73" t="s">
        <v>41</v>
      </c>
      <c r="D21" s="73"/>
      <c r="E21" s="60">
        <f>F19+1</f>
        <v>44148</v>
      </c>
      <c r="F21" s="60">
        <f>E21+1</f>
        <v>44149</v>
      </c>
      <c r="G21" s="16"/>
      <c r="H21" s="16">
        <f t="shared" si="6"/>
        <v>2</v>
      </c>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row>
    <row r="22" spans="1:64" s="2" customFormat="1" ht="30" customHeight="1" thickBot="1" x14ac:dyDescent="0.25">
      <c r="A22" s="50"/>
      <c r="B22" s="67" t="s">
        <v>55</v>
      </c>
      <c r="C22" s="73" t="s">
        <v>45</v>
      </c>
      <c r="D22" s="73"/>
      <c r="E22" s="60">
        <f>F21-1</f>
        <v>44148</v>
      </c>
      <c r="F22" s="60">
        <f>E22+3</f>
        <v>44151</v>
      </c>
      <c r="G22" s="16"/>
      <c r="H22" s="16">
        <f t="shared" si="6"/>
        <v>4</v>
      </c>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row>
    <row r="23" spans="1:64" s="2" customFormat="1" ht="30" customHeight="1" thickBot="1" x14ac:dyDescent="0.25">
      <c r="A23" s="50"/>
      <c r="B23" s="67" t="s">
        <v>60</v>
      </c>
      <c r="C23" s="73" t="s">
        <v>41</v>
      </c>
      <c r="D23" s="73"/>
      <c r="E23" s="60">
        <f>E22+3</f>
        <v>44151</v>
      </c>
      <c r="F23" s="60">
        <f>E23+4</f>
        <v>44155</v>
      </c>
      <c r="G23" s="16"/>
      <c r="H23" s="16">
        <f t="shared" si="6"/>
        <v>5</v>
      </c>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row>
    <row r="24" spans="1:64" s="2" customFormat="1" ht="30" customHeight="1" thickBot="1" x14ac:dyDescent="0.25">
      <c r="A24" s="50"/>
      <c r="B24" s="67" t="s">
        <v>61</v>
      </c>
      <c r="C24" s="73" t="s">
        <v>45</v>
      </c>
      <c r="D24" s="73"/>
      <c r="E24" s="60">
        <f>E23</f>
        <v>44151</v>
      </c>
      <c r="F24" s="60">
        <f>E24+4</f>
        <v>44155</v>
      </c>
      <c r="G24" s="16"/>
      <c r="H24" s="16">
        <f t="shared" si="6"/>
        <v>5</v>
      </c>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row>
    <row r="25" spans="1:64" s="2" customFormat="1" ht="30" customHeight="1" thickBot="1" x14ac:dyDescent="0.25">
      <c r="A25" s="50"/>
      <c r="B25" s="67" t="s">
        <v>62</v>
      </c>
      <c r="C25" s="73" t="s">
        <v>41</v>
      </c>
      <c r="D25" s="73"/>
      <c r="E25" s="60">
        <f>F23 + 1</f>
        <v>44156</v>
      </c>
      <c r="F25" s="60">
        <f>E25+2</f>
        <v>44158</v>
      </c>
      <c r="G25" s="16"/>
      <c r="H25" s="16">
        <f t="shared" si="6"/>
        <v>3</v>
      </c>
      <c r="I25" s="36"/>
      <c r="J25" s="36"/>
      <c r="K25" s="36"/>
      <c r="L25" s="36"/>
      <c r="M25" s="36"/>
      <c r="N25" s="36"/>
      <c r="O25" s="36"/>
      <c r="P25" s="36"/>
      <c r="Q25" s="36"/>
      <c r="R25" s="36"/>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row>
    <row r="26" spans="1:64" s="2" customFormat="1" ht="30" customHeight="1" thickBot="1" x14ac:dyDescent="0.25">
      <c r="A26" s="50" t="s">
        <v>24</v>
      </c>
      <c r="B26" s="27" t="s">
        <v>49</v>
      </c>
      <c r="C26" s="74"/>
      <c r="D26" s="74"/>
      <c r="E26" s="28"/>
      <c r="F26" s="29"/>
      <c r="G26" s="16"/>
      <c r="H26" s="16" t="str">
        <f t="shared" si="6"/>
        <v/>
      </c>
      <c r="I26" s="36"/>
      <c r="J26" s="36"/>
      <c r="K26" s="36"/>
      <c r="L26" s="36"/>
      <c r="M26" s="36"/>
      <c r="N26" s="36"/>
      <c r="O26" s="36"/>
      <c r="P26" s="36"/>
      <c r="Q26" s="36"/>
      <c r="R26" s="36"/>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row>
    <row r="27" spans="1:64" s="2" customFormat="1" ht="30" customHeight="1" thickBot="1" x14ac:dyDescent="0.25">
      <c r="A27" s="50"/>
      <c r="B27" s="68" t="s">
        <v>63</v>
      </c>
      <c r="C27" s="72" t="s">
        <v>45</v>
      </c>
      <c r="D27" s="72"/>
      <c r="E27" s="61">
        <f>F25+1</f>
        <v>44159</v>
      </c>
      <c r="F27" s="61">
        <f>E27+2</f>
        <v>44161</v>
      </c>
      <c r="G27" s="16"/>
      <c r="H27" s="16">
        <f t="shared" si="6"/>
        <v>3</v>
      </c>
      <c r="I27" s="36"/>
      <c r="J27" s="36"/>
      <c r="K27" s="36"/>
      <c r="L27" s="36"/>
      <c r="M27" s="36"/>
      <c r="N27" s="36"/>
      <c r="O27" s="36"/>
      <c r="P27" s="36"/>
      <c r="Q27" s="36"/>
      <c r="R27" s="36"/>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36"/>
      <c r="BH27" s="36"/>
      <c r="BI27" s="36"/>
      <c r="BJ27" s="36"/>
      <c r="BK27" s="36"/>
      <c r="BL27" s="36"/>
    </row>
    <row r="28" spans="1:64" s="2" customFormat="1" ht="30" customHeight="1" thickBot="1" x14ac:dyDescent="0.25">
      <c r="A28" s="50"/>
      <c r="B28" s="68" t="s">
        <v>64</v>
      </c>
      <c r="C28" s="72" t="s">
        <v>41</v>
      </c>
      <c r="D28" s="72"/>
      <c r="E28" s="61">
        <f>E27</f>
        <v>44159</v>
      </c>
      <c r="F28" s="61">
        <f>E28+3</f>
        <v>44162</v>
      </c>
      <c r="G28" s="16"/>
      <c r="H28" s="16">
        <f t="shared" si="6"/>
        <v>4</v>
      </c>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c r="BJ28" s="36"/>
      <c r="BK28" s="36"/>
      <c r="BL28" s="36"/>
    </row>
    <row r="29" spans="1:64" s="2" customFormat="1" ht="30" customHeight="1" thickBot="1" x14ac:dyDescent="0.25">
      <c r="A29" s="50"/>
      <c r="B29" s="68" t="s">
        <v>65</v>
      </c>
      <c r="C29" s="72" t="s">
        <v>45</v>
      </c>
      <c r="D29" s="72"/>
      <c r="E29" s="61">
        <f>F27</f>
        <v>44161</v>
      </c>
      <c r="F29" s="61">
        <f>E29+3</f>
        <v>44164</v>
      </c>
      <c r="G29" s="16"/>
      <c r="H29" s="16">
        <f t="shared" si="6"/>
        <v>4</v>
      </c>
      <c r="I29" s="36"/>
      <c r="J29" s="36"/>
      <c r="K29" s="36"/>
      <c r="L29" s="36"/>
      <c r="M29" s="36"/>
      <c r="N29" s="36"/>
      <c r="O29" s="36"/>
      <c r="P29" s="36"/>
      <c r="Q29" s="36"/>
      <c r="R29" s="36"/>
      <c r="S29" s="36"/>
      <c r="T29" s="36"/>
      <c r="U29" s="36"/>
      <c r="V29" s="36"/>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row>
    <row r="30" spans="1:64" s="2" customFormat="1" ht="30" customHeight="1" thickBot="1" x14ac:dyDescent="0.25">
      <c r="A30" s="50"/>
      <c r="B30" s="68" t="s">
        <v>66</v>
      </c>
      <c r="C30" s="72" t="s">
        <v>41</v>
      </c>
      <c r="D30" s="72"/>
      <c r="E30" s="61">
        <f>F28</f>
        <v>44162</v>
      </c>
      <c r="F30" s="61">
        <f>E30+2</f>
        <v>44164</v>
      </c>
      <c r="G30" s="16"/>
      <c r="H30" s="16">
        <f t="shared" si="6"/>
        <v>3</v>
      </c>
      <c r="I30" s="36"/>
      <c r="J30" s="36"/>
      <c r="K30" s="36"/>
      <c r="L30" s="36"/>
      <c r="M30" s="36"/>
      <c r="N30" s="36"/>
      <c r="O30" s="36"/>
      <c r="P30" s="36"/>
      <c r="Q30" s="36"/>
      <c r="R30" s="36"/>
      <c r="S30" s="36"/>
      <c r="T30" s="36"/>
      <c r="U30" s="36"/>
      <c r="V30" s="36"/>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row>
    <row r="31" spans="1:64" s="2" customFormat="1" ht="30" customHeight="1" thickBot="1" x14ac:dyDescent="0.25">
      <c r="A31" s="50"/>
      <c r="B31" s="68" t="s">
        <v>67</v>
      </c>
      <c r="C31" s="72" t="s">
        <v>68</v>
      </c>
      <c r="D31" s="72"/>
      <c r="E31" s="61">
        <f>F29</f>
        <v>44164</v>
      </c>
      <c r="F31" s="61">
        <f>E31+2</f>
        <v>44166</v>
      </c>
      <c r="G31" s="16"/>
      <c r="H31" s="16">
        <f t="shared" si="6"/>
        <v>3</v>
      </c>
      <c r="I31" s="36"/>
      <c r="J31" s="36"/>
      <c r="K31" s="36"/>
      <c r="L31" s="36"/>
      <c r="M31" s="36"/>
      <c r="N31" s="36"/>
      <c r="O31" s="36"/>
      <c r="P31" s="36"/>
      <c r="Q31" s="36"/>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row>
    <row r="32" spans="1:64" s="2" customFormat="1" ht="30" customHeight="1" thickBot="1" x14ac:dyDescent="0.25">
      <c r="A32" s="50" t="s">
        <v>26</v>
      </c>
      <c r="B32" s="69"/>
      <c r="C32" s="64"/>
      <c r="D32" s="15"/>
      <c r="E32" s="62"/>
      <c r="F32" s="62"/>
      <c r="G32" s="16"/>
      <c r="H32" s="16" t="str">
        <f t="shared" si="6"/>
        <v/>
      </c>
      <c r="I32" s="36"/>
      <c r="J32" s="36"/>
      <c r="K32" s="36"/>
      <c r="L32" s="36"/>
      <c r="M32" s="36"/>
      <c r="N32" s="36"/>
      <c r="O32" s="36"/>
      <c r="P32" s="36"/>
      <c r="Q32" s="36"/>
      <c r="R32" s="36"/>
      <c r="S32" s="36"/>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36"/>
      <c r="AV32" s="36"/>
      <c r="AW32" s="36"/>
      <c r="AX32" s="36"/>
      <c r="AY32" s="36"/>
      <c r="AZ32" s="36"/>
      <c r="BA32" s="36"/>
      <c r="BB32" s="36"/>
      <c r="BC32" s="36"/>
      <c r="BD32" s="36"/>
      <c r="BE32" s="36"/>
      <c r="BF32" s="36"/>
      <c r="BG32" s="36"/>
      <c r="BH32" s="36"/>
      <c r="BI32" s="36"/>
      <c r="BJ32" s="36"/>
      <c r="BK32" s="36"/>
      <c r="BL32" s="36"/>
    </row>
    <row r="33" spans="1:64" s="2" customFormat="1" ht="30" customHeight="1" thickBot="1" x14ac:dyDescent="0.25">
      <c r="A33" s="51" t="s">
        <v>25</v>
      </c>
      <c r="B33" s="30" t="s">
        <v>0</v>
      </c>
      <c r="C33" s="31"/>
      <c r="D33" s="32"/>
      <c r="E33" s="33"/>
      <c r="F33" s="34"/>
      <c r="G33" s="35"/>
      <c r="H33" s="35" t="str">
        <f t="shared" si="6"/>
        <v/>
      </c>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row>
    <row r="34" spans="1:64" ht="30" customHeight="1" x14ac:dyDescent="0.2">
      <c r="G34" s="5"/>
    </row>
    <row r="35" spans="1:64" ht="30" customHeight="1" x14ac:dyDescent="0.2">
      <c r="C35" s="13"/>
      <c r="F35" s="52"/>
    </row>
    <row r="36" spans="1:64" ht="30" customHeight="1" x14ac:dyDescent="0.2">
      <c r="C36" s="14"/>
    </row>
  </sheetData>
  <mergeCells count="37">
    <mergeCell ref="C16:D16"/>
    <mergeCell ref="E2:F2"/>
    <mergeCell ref="E3:F3"/>
    <mergeCell ref="C9:D9"/>
    <mergeCell ref="C10:D10"/>
    <mergeCell ref="C11:D11"/>
    <mergeCell ref="C12:D12"/>
    <mergeCell ref="AY4:BE4"/>
    <mergeCell ref="BF4:BL4"/>
    <mergeCell ref="I4:O4"/>
    <mergeCell ref="P4:V4"/>
    <mergeCell ref="W4:AC4"/>
    <mergeCell ref="AD4:AJ4"/>
    <mergeCell ref="AK4:AQ4"/>
    <mergeCell ref="AR4:AX4"/>
    <mergeCell ref="C31:D31"/>
    <mergeCell ref="C22:D22"/>
    <mergeCell ref="C23:D23"/>
    <mergeCell ref="C24:D24"/>
    <mergeCell ref="C25:D25"/>
    <mergeCell ref="C26:D26"/>
    <mergeCell ref="C2:D2"/>
    <mergeCell ref="C27:D27"/>
    <mergeCell ref="C28:D28"/>
    <mergeCell ref="C29:D29"/>
    <mergeCell ref="C30:D30"/>
    <mergeCell ref="C17:D17"/>
    <mergeCell ref="C18:D18"/>
    <mergeCell ref="C19:D19"/>
    <mergeCell ref="C20:D20"/>
    <mergeCell ref="C21:D21"/>
    <mergeCell ref="C3:D3"/>
    <mergeCell ref="C4:D4"/>
    <mergeCell ref="C6:D6"/>
    <mergeCell ref="C13:D13"/>
    <mergeCell ref="C14:D14"/>
    <mergeCell ref="C15:D15"/>
  </mergeCells>
  <conditionalFormatting sqref="D7:D8 D32: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scale="57"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D7:D8 D32:D33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baseColWidth="10" defaultColWidth="9.1640625" defaultRowHeight="14" x14ac:dyDescent="0.2"/>
  <cols>
    <col min="1" max="1" width="87.1640625" style="40" customWidth="1"/>
    <col min="2" max="16384" width="9.1640625" style="1"/>
  </cols>
  <sheetData>
    <row r="1" spans="1:2" ht="46.5" customHeight="1" x14ac:dyDescent="0.2"/>
    <row r="2" spans="1:2" s="42" customFormat="1" ht="16" x14ac:dyDescent="0.2">
      <c r="A2" s="41" t="s">
        <v>11</v>
      </c>
      <c r="B2" s="41"/>
    </row>
    <row r="3" spans="1:2" s="46" customFormat="1" ht="27" customHeight="1" x14ac:dyDescent="0.2">
      <c r="A3" s="47" t="s">
        <v>16</v>
      </c>
      <c r="B3" s="47"/>
    </row>
    <row r="4" spans="1:2" s="43" customFormat="1" ht="26" x14ac:dyDescent="0.3">
      <c r="A4" s="44" t="s">
        <v>10</v>
      </c>
    </row>
    <row r="5" spans="1:2" ht="74" customHeight="1" x14ac:dyDescent="0.2">
      <c r="A5" s="45" t="s">
        <v>19</v>
      </c>
    </row>
    <row r="6" spans="1:2" ht="26.25" customHeight="1" x14ac:dyDescent="0.2">
      <c r="A6" s="44" t="s">
        <v>22</v>
      </c>
    </row>
    <row r="7" spans="1:2" s="40" customFormat="1" ht="205" customHeight="1" x14ac:dyDescent="0.2">
      <c r="A7" s="49" t="s">
        <v>21</v>
      </c>
    </row>
    <row r="8" spans="1:2" s="43" customFormat="1" ht="26" x14ac:dyDescent="0.3">
      <c r="A8" s="44" t="s">
        <v>12</v>
      </c>
    </row>
    <row r="9" spans="1:2" ht="48" x14ac:dyDescent="0.2">
      <c r="A9" s="45" t="s">
        <v>20</v>
      </c>
    </row>
    <row r="10" spans="1:2" s="40" customFormat="1" ht="28" customHeight="1" x14ac:dyDescent="0.2">
      <c r="A10" s="48" t="s">
        <v>18</v>
      </c>
    </row>
    <row r="11" spans="1:2" s="43" customFormat="1" ht="26" x14ac:dyDescent="0.3">
      <c r="A11" s="44" t="s">
        <v>9</v>
      </c>
    </row>
    <row r="12" spans="1:2" ht="32" x14ac:dyDescent="0.2">
      <c r="A12" s="45" t="s">
        <v>17</v>
      </c>
    </row>
    <row r="13" spans="1:2" s="40" customFormat="1" ht="28" customHeight="1" x14ac:dyDescent="0.2">
      <c r="A13" s="48" t="s">
        <v>3</v>
      </c>
    </row>
    <row r="14" spans="1:2" s="43" customFormat="1" ht="26" x14ac:dyDescent="0.3">
      <c r="A14" s="44" t="s">
        <v>13</v>
      </c>
    </row>
    <row r="15" spans="1:2" ht="75" customHeight="1" x14ac:dyDescent="0.2">
      <c r="A15" s="45" t="s">
        <v>14</v>
      </c>
    </row>
    <row r="16" spans="1:2" ht="64" x14ac:dyDescent="0.2">
      <c r="A16" s="45" t="s">
        <v>15</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ProjectSchedule</vt:lpstr>
      <vt:lpstr>About</vt:lpstr>
      <vt:lpstr>Display_Week</vt:lpstr>
      <vt:lpstr>ProjectSchedule!Print_Titles</vt:lpstr>
      <vt:lpstr>Project_Start</vt:lpstr>
      <vt:lpstr>ProjectSchedule!task_end</vt:lpstr>
      <vt:lpstr>ProjectSchedule!task_progress</vt:lpstr>
      <vt:lpstr>ProjectSchedule!task_start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2019-03-19T17:17:03Z</dcterms:created>
  <dcterms:modified xsi:type="dcterms:W3CDTF">2020-11-01T20:06:12Z</dcterms:modified>
</cp:coreProperties>
</file>